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ophe Lian\Desktop\Python\Python3\piper_plot\"/>
    </mc:Choice>
  </mc:AlternateContent>
  <xr:revisionPtr revIDLastSave="0" documentId="13_ncr:1_{51BF6830-5FC5-4172-BA0A-A291068B5165}" xr6:coauthVersionLast="47" xr6:coauthVersionMax="47" xr10:uidLastSave="{00000000-0000-0000-0000-000000000000}"/>
  <bookViews>
    <workbookView xWindow="1837" yWindow="1837" windowWidth="15391" windowHeight="9533" xr2:uid="{00000000-000D-0000-FFFF-FFFF00000000}"/>
  </bookViews>
  <sheets>
    <sheet name="piper_data" sheetId="1" r:id="rId1"/>
    <sheet name="marker_list" sheetId="2" r:id="rId2"/>
  </sheets>
  <functionGroups builtInGroupCount="19"/>
  <calcPr calcId="191029" iterate="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2" i="1"/>
  <c r="M3" i="1"/>
  <c r="M7" i="1"/>
  <c r="M9" i="1"/>
  <c r="M6" i="1"/>
  <c r="M4" i="1"/>
  <c r="M8" i="1"/>
  <c r="M5" i="1"/>
  <c r="M2" i="1"/>
</calcChain>
</file>

<file path=xl/sharedStrings.xml><?xml version="1.0" encoding="utf-8"?>
<sst xmlns="http://schemas.openxmlformats.org/spreadsheetml/2006/main" count="80" uniqueCount="70">
  <si>
    <t>Bore_ID</t>
  </si>
  <si>
    <t>HCO3</t>
  </si>
  <si>
    <t>CO3</t>
  </si>
  <si>
    <t>SO4</t>
  </si>
  <si>
    <t>Cl</t>
  </si>
  <si>
    <t>Na</t>
  </si>
  <si>
    <t>Ca</t>
  </si>
  <si>
    <t>Mg</t>
  </si>
  <si>
    <t>K</t>
  </si>
  <si>
    <t>MB1</t>
  </si>
  <si>
    <t>MB2</t>
  </si>
  <si>
    <t>MB3</t>
  </si>
  <si>
    <t>PB1</t>
  </si>
  <si>
    <t>PB2</t>
  </si>
  <si>
    <t>PB3</t>
  </si>
  <si>
    <t>Mon_1</t>
  </si>
  <si>
    <t>Mon_2</t>
  </si>
  <si>
    <t>Color</t>
  </si>
  <si>
    <t>Color_ID</t>
  </si>
  <si>
    <t>Size</t>
  </si>
  <si>
    <t>Symbol</t>
  </si>
  <si>
    <t>symbol</t>
  </si>
  <si>
    <t>description</t>
  </si>
  <si>
    <t>point</t>
  </si>
  <si>
    <t>circle</t>
  </si>
  <si>
    <t>triangle_down</t>
  </si>
  <si>
    <t>triangle_up</t>
  </si>
  <si>
    <t>triangle_left</t>
  </si>
  <si>
    <t>triangle_right</t>
  </si>
  <si>
    <t>octagon</t>
  </si>
  <si>
    <t>square</t>
  </si>
  <si>
    <t>pentagon</t>
  </si>
  <si>
    <t>star</t>
  </si>
  <si>
    <t>hexagon1</t>
  </si>
  <si>
    <t>hexagon2</t>
  </si>
  <si>
    <t>plus</t>
  </si>
  <si>
    <t>x</t>
  </si>
  <si>
    <t>diamond</t>
  </si>
  <si>
    <t>thin_diamond</t>
  </si>
  <si>
    <t>Symbol_ID</t>
  </si>
  <si>
    <t>+</t>
  </si>
  <si>
    <t>X</t>
  </si>
  <si>
    <t>•</t>
  </si>
  <si>
    <t>▲</t>
  </si>
  <si>
    <t>▼</t>
  </si>
  <si>
    <t>▶</t>
  </si>
  <si>
    <t>◀</t>
  </si>
  <si>
    <t>⯃</t>
  </si>
  <si>
    <t>■</t>
  </si>
  <si>
    <t>⬟</t>
  </si>
  <si>
    <t>⬢</t>
  </si>
  <si>
    <t>⬣</t>
  </si>
  <si>
    <t>⧫</t>
  </si>
  <si>
    <t>◆</t>
  </si>
  <si>
    <t>★</t>
  </si>
  <si>
    <t>●</t>
  </si>
  <si>
    <t>symbol_id</t>
  </si>
  <si>
    <t>d</t>
  </si>
  <si>
    <t>.</t>
  </si>
  <si>
    <t>o</t>
  </si>
  <si>
    <t>v</t>
  </si>
  <si>
    <t>^</t>
  </si>
  <si>
    <t>&lt;</t>
  </si>
  <si>
    <t>&gt;</t>
  </si>
  <si>
    <t>s</t>
  </si>
  <si>
    <t>p</t>
  </si>
  <si>
    <t>*</t>
  </si>
  <si>
    <t>h</t>
  </si>
  <si>
    <t>H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</si>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</sst>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"/>
  <sheetViews>
    <sheetView tabSelected="1" topLeftCell="G1" workbookViewId="0">
      <selection activeCell="O4" sqref="O4"/>
    </sheetView>
  </sheetViews>
  <sheetFormatPr defaultRowHeight="14.25" x14ac:dyDescent="0.45"/>
  <cols>
    <col min="13" max="13" width="8.86328125" style="1"/>
  </cols>
  <sheetData>
    <row r="1" spans="1:14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17</v>
      </c>
      <c r="K1" s="1" t="s">
        <v>20</v>
      </c>
      <c r="L1" s="1" t="s">
        <v>19</v>
      </c>
      <c r="M1" s="1" t="s">
        <v>18</v>
      </c>
      <c r="N1" s="1" t="s">
        <v>39</v>
      </c>
    </row>
    <row r="2" spans="1:14" x14ac:dyDescent="0.45">
      <c r="A2" t="s">
        <v>9</v>
      </c>
      <c r="B2">
        <v>94</v>
      </c>
      <c r="C2">
        <v>94</v>
      </c>
      <c r="D2">
        <v>55.4</v>
      </c>
      <c r="E2">
        <v>2.89</v>
      </c>
      <c r="F2">
        <v>4.18</v>
      </c>
      <c r="G2">
        <v>46.2</v>
      </c>
      <c r="H2">
        <v>2.46</v>
      </c>
      <c r="I2">
        <v>0.04</v>
      </c>
      <c r="J2" s="3"/>
      <c r="K2" s="10" t="s">
        <v>52</v>
      </c>
      <c r="L2" s="1">
        <v>30</v>
      </c>
      <c r="M2" s="1" t="str">
        <f t="shared" ref="M2:M9" si="0">_xlfn.CONCAT("#",getColor(J2))</f>
        <v>#44546A</v>
      </c>
      <c r="N2" t="str">
        <f>VLOOKUP($K2,marker_list!$A$2:$C$17,3,FALSE)</f>
        <v>d</v>
      </c>
    </row>
    <row r="3" spans="1:14" x14ac:dyDescent="0.45">
      <c r="A3" t="s">
        <v>10</v>
      </c>
      <c r="B3">
        <v>122</v>
      </c>
      <c r="C3">
        <v>2</v>
      </c>
      <c r="D3">
        <v>9.6999999999999993</v>
      </c>
      <c r="E3">
        <v>0.4</v>
      </c>
      <c r="F3">
        <v>6.25</v>
      </c>
      <c r="G3">
        <v>27.4</v>
      </c>
      <c r="H3">
        <v>9.06</v>
      </c>
      <c r="I3">
        <v>1.9</v>
      </c>
      <c r="J3" s="4"/>
      <c r="K3" s="10" t="s">
        <v>54</v>
      </c>
      <c r="L3" s="1">
        <v>40</v>
      </c>
      <c r="M3" s="1" t="str">
        <f t="shared" si="0"/>
        <v>#4472C4</v>
      </c>
      <c r="N3" t="str">
        <f>VLOOKUP($K3,marker_list!$A$2:$C$17,3,FALSE)</f>
        <v>*</v>
      </c>
    </row>
    <row r="4" spans="1:14" x14ac:dyDescent="0.45">
      <c r="A4" t="s">
        <v>11</v>
      </c>
      <c r="B4">
        <v>640</v>
      </c>
      <c r="C4">
        <v>640</v>
      </c>
      <c r="D4">
        <v>13.6</v>
      </c>
      <c r="E4">
        <v>14.6</v>
      </c>
      <c r="F4">
        <v>4.79</v>
      </c>
      <c r="G4">
        <v>146</v>
      </c>
      <c r="H4">
        <v>10.9</v>
      </c>
      <c r="I4">
        <v>27.3</v>
      </c>
      <c r="J4" s="5"/>
      <c r="K4" s="10" t="s">
        <v>49</v>
      </c>
      <c r="L4" s="1">
        <v>50</v>
      </c>
      <c r="M4" s="1" t="str">
        <f t="shared" si="0"/>
        <v>#FFC000</v>
      </c>
      <c r="N4" t="str">
        <f>VLOOKUP($K4,marker_list!$A$2:$C$17,3,FALSE)</f>
        <v>p</v>
      </c>
    </row>
    <row r="5" spans="1:14" x14ac:dyDescent="0.45">
      <c r="A5" t="s">
        <v>12</v>
      </c>
      <c r="B5">
        <v>195</v>
      </c>
      <c r="C5">
        <v>195</v>
      </c>
      <c r="D5">
        <v>2.69</v>
      </c>
      <c r="E5">
        <v>4.5599999999999996</v>
      </c>
      <c r="F5">
        <v>28.6</v>
      </c>
      <c r="G5">
        <v>26</v>
      </c>
      <c r="H5">
        <v>9.8800000000000008</v>
      </c>
      <c r="I5">
        <v>2.81</v>
      </c>
      <c r="J5" s="6"/>
      <c r="K5" s="10" t="s">
        <v>52</v>
      </c>
      <c r="L5" s="1">
        <v>60</v>
      </c>
      <c r="M5" s="1" t="str">
        <f t="shared" si="0"/>
        <v>#C00000</v>
      </c>
      <c r="N5" t="str">
        <f>VLOOKUP($K5,marker_list!$A$2:$C$17,3,FALSE)</f>
        <v>d</v>
      </c>
    </row>
    <row r="6" spans="1:14" x14ac:dyDescent="0.45">
      <c r="A6" t="s">
        <v>13</v>
      </c>
      <c r="B6">
        <v>205</v>
      </c>
      <c r="C6">
        <v>1</v>
      </c>
      <c r="D6">
        <v>11.5</v>
      </c>
      <c r="E6">
        <v>0.3</v>
      </c>
      <c r="F6">
        <v>2.4500000000000002</v>
      </c>
      <c r="G6">
        <v>66</v>
      </c>
      <c r="H6">
        <v>9.2899999999999991</v>
      </c>
      <c r="I6">
        <v>0.54</v>
      </c>
      <c r="J6" s="7"/>
      <c r="K6" s="10" t="s">
        <v>50</v>
      </c>
      <c r="L6" s="1">
        <v>80</v>
      </c>
      <c r="M6" s="1" t="str">
        <f t="shared" si="0"/>
        <v>#00B050</v>
      </c>
      <c r="N6" t="str">
        <f>VLOOKUP($K6,marker_list!$A$2:$C$17,3,FALSE)</f>
        <v>h</v>
      </c>
    </row>
    <row r="7" spans="1:14" x14ac:dyDescent="0.45">
      <c r="A7" t="s">
        <v>14</v>
      </c>
      <c r="B7">
        <v>229.22</v>
      </c>
      <c r="C7">
        <v>1E-4</v>
      </c>
      <c r="D7">
        <v>301.42</v>
      </c>
      <c r="E7">
        <v>128.1</v>
      </c>
      <c r="F7">
        <v>38.1</v>
      </c>
      <c r="G7">
        <v>104.48</v>
      </c>
      <c r="H7">
        <v>22.69</v>
      </c>
      <c r="I7">
        <v>3.22</v>
      </c>
      <c r="J7" s="8"/>
      <c r="K7" s="10" t="s">
        <v>41</v>
      </c>
      <c r="L7" s="1">
        <v>100</v>
      </c>
      <c r="M7" s="1" t="str">
        <f t="shared" si="0"/>
        <v>#002060</v>
      </c>
      <c r="N7" t="str">
        <f>VLOOKUP($K7,marker_list!$A$2:$C$17,3,FALSE)</f>
        <v>x</v>
      </c>
    </row>
    <row r="8" spans="1:14" x14ac:dyDescent="0.45">
      <c r="A8" t="s">
        <v>15</v>
      </c>
      <c r="B8">
        <v>204.43</v>
      </c>
      <c r="C8">
        <v>1E-4</v>
      </c>
      <c r="D8">
        <v>265.97000000000003</v>
      </c>
      <c r="E8">
        <v>136.24</v>
      </c>
      <c r="F8">
        <v>42.05</v>
      </c>
      <c r="G8">
        <v>99.58</v>
      </c>
      <c r="H8">
        <v>22.53</v>
      </c>
      <c r="I8">
        <v>2.96</v>
      </c>
      <c r="J8" s="9"/>
      <c r="K8" s="10" t="s">
        <v>55</v>
      </c>
      <c r="L8" s="1">
        <v>120</v>
      </c>
      <c r="M8" s="1" t="str">
        <f t="shared" si="0"/>
        <v>#FFD966</v>
      </c>
      <c r="N8" t="str">
        <f>VLOOKUP($K8,marker_list!$A$2:$C$17,3,FALSE)</f>
        <v>o</v>
      </c>
    </row>
    <row r="9" spans="1:14" x14ac:dyDescent="0.45">
      <c r="A9" t="s">
        <v>16</v>
      </c>
      <c r="B9">
        <v>210.64</v>
      </c>
      <c r="C9">
        <v>1E-4</v>
      </c>
      <c r="D9">
        <v>362.33</v>
      </c>
      <c r="E9">
        <v>172.49</v>
      </c>
      <c r="F9">
        <v>43.61</v>
      </c>
      <c r="G9">
        <v>231.19</v>
      </c>
      <c r="H9">
        <v>23.01</v>
      </c>
      <c r="I9">
        <v>9.15</v>
      </c>
      <c r="J9" s="2"/>
      <c r="K9" s="10" t="s">
        <v>43</v>
      </c>
      <c r="L9" s="1">
        <v>20</v>
      </c>
      <c r="M9" s="1" t="str">
        <f t="shared" si="0"/>
        <v>#C65911</v>
      </c>
      <c r="N9" t="str">
        <f>VLOOKUP($K9,marker_list!$A$2:$C$17,3,FALSE)</f>
        <v>^</v>
      </c>
    </row>
    <row r="10" spans="1:14" x14ac:dyDescent="0.45">
      <c r="J1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E77205-422D-406C-AC79-6EBCEA48CC14}">
          <x14:formula1>
            <xm:f>marker_list!$A$2:$A$17</xm:f>
          </x14:formula1>
          <xm:sqref>K2:K9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05EA9-ABF8-4C37-B0B7-76F7F7E84812}">
  <dimension ref="A1:C17"/>
  <sheetViews>
    <sheetView workbookViewId="0">
      <selection activeCell="B20" sqref="B20"/>
    </sheetView>
  </sheetViews>
  <sheetFormatPr defaultRowHeight="14.25" x14ac:dyDescent="0.45"/>
  <sheetData>
    <row r="1" spans="1:3" x14ac:dyDescent="0.45">
      <c r="A1" t="s">
        <v>21</v>
      </c>
      <c r="B1" t="s">
        <v>22</v>
      </c>
      <c r="C1" t="s">
        <v>56</v>
      </c>
    </row>
    <row r="2" spans="1:3" x14ac:dyDescent="0.45">
      <c r="A2" t="s">
        <v>42</v>
      </c>
      <c r="B2" t="s">
        <v>23</v>
      </c>
      <c r="C2" t="s">
        <v>58</v>
      </c>
    </row>
    <row r="3" spans="1:3" x14ac:dyDescent="0.45">
      <c r="A3" t="s">
        <v>55</v>
      </c>
      <c r="B3" t="s">
        <v>24</v>
      </c>
      <c r="C3" t="s">
        <v>59</v>
      </c>
    </row>
    <row r="4" spans="1:3" x14ac:dyDescent="0.45">
      <c r="A4" t="s">
        <v>44</v>
      </c>
      <c r="B4" t="s">
        <v>25</v>
      </c>
      <c r="C4" t="s">
        <v>60</v>
      </c>
    </row>
    <row r="5" spans="1:3" x14ac:dyDescent="0.45">
      <c r="A5" t="s">
        <v>43</v>
      </c>
      <c r="B5" t="s">
        <v>26</v>
      </c>
      <c r="C5" t="s">
        <v>61</v>
      </c>
    </row>
    <row r="6" spans="1:3" x14ac:dyDescent="0.45">
      <c r="A6" t="s">
        <v>46</v>
      </c>
      <c r="B6" t="s">
        <v>27</v>
      </c>
      <c r="C6" t="s">
        <v>62</v>
      </c>
    </row>
    <row r="7" spans="1:3" x14ac:dyDescent="0.45">
      <c r="A7" t="s">
        <v>45</v>
      </c>
      <c r="B7" t="s">
        <v>28</v>
      </c>
      <c r="C7" t="s">
        <v>63</v>
      </c>
    </row>
    <row r="8" spans="1:3" x14ac:dyDescent="0.45">
      <c r="A8" t="s">
        <v>47</v>
      </c>
      <c r="B8" t="s">
        <v>29</v>
      </c>
      <c r="C8">
        <v>8</v>
      </c>
    </row>
    <row r="9" spans="1:3" x14ac:dyDescent="0.45">
      <c r="A9" t="s">
        <v>48</v>
      </c>
      <c r="B9" t="s">
        <v>30</v>
      </c>
      <c r="C9" t="s">
        <v>64</v>
      </c>
    </row>
    <row r="10" spans="1:3" x14ac:dyDescent="0.45">
      <c r="A10" t="s">
        <v>49</v>
      </c>
      <c r="B10" t="s">
        <v>31</v>
      </c>
      <c r="C10" t="s">
        <v>65</v>
      </c>
    </row>
    <row r="11" spans="1:3" x14ac:dyDescent="0.45">
      <c r="A11" t="s">
        <v>54</v>
      </c>
      <c r="B11" t="s">
        <v>32</v>
      </c>
      <c r="C11" t="s">
        <v>66</v>
      </c>
    </row>
    <row r="12" spans="1:3" x14ac:dyDescent="0.45">
      <c r="A12" t="s">
        <v>50</v>
      </c>
      <c r="B12" t="s">
        <v>33</v>
      </c>
      <c r="C12" t="s">
        <v>67</v>
      </c>
    </row>
    <row r="13" spans="1:3" x14ac:dyDescent="0.45">
      <c r="A13" t="s">
        <v>51</v>
      </c>
      <c r="B13" t="s">
        <v>34</v>
      </c>
      <c r="C13" t="s">
        <v>68</v>
      </c>
    </row>
    <row r="14" spans="1:3" x14ac:dyDescent="0.45">
      <c r="A14" t="s">
        <v>40</v>
      </c>
      <c r="B14" t="s">
        <v>35</v>
      </c>
      <c r="C14" t="s">
        <v>40</v>
      </c>
    </row>
    <row r="15" spans="1:3" x14ac:dyDescent="0.45">
      <c r="A15" t="s">
        <v>41</v>
      </c>
      <c r="B15" t="s">
        <v>36</v>
      </c>
      <c r="C15" t="s">
        <v>36</v>
      </c>
    </row>
    <row r="16" spans="1:3" x14ac:dyDescent="0.45">
      <c r="A16" t="s">
        <v>53</v>
      </c>
      <c r="B16" t="s">
        <v>37</v>
      </c>
      <c r="C16" t="s">
        <v>69</v>
      </c>
    </row>
    <row r="17" spans="1:3" x14ac:dyDescent="0.45">
      <c r="A17" t="s">
        <v>52</v>
      </c>
      <c r="B17" t="s">
        <v>38</v>
      </c>
      <c r="C17" t="s">
        <v>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piper_data</vt:lpstr>
      <vt:lpstr>marker_list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Kristophe Lian</cp:lastModifiedBy>
  <dcterms:created xsi:type="dcterms:W3CDTF">2022-04-30T03:39:05Z</dcterms:created>
  <dcterms:modified xsi:type="dcterms:W3CDTF">2022-05-06T11:31:47Z</dcterms:modified>
</cp:coreProperties>
</file>